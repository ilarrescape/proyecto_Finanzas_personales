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xcortijo/Downloads/"/>
    </mc:Choice>
  </mc:AlternateContent>
  <xr:revisionPtr revIDLastSave="0" documentId="8_{21D01E73-20C2-1241-8117-3FC43C005D34}" xr6:coauthVersionLast="36" xr6:coauthVersionMax="36" xr10:uidLastSave="{00000000-0000-0000-0000-000000000000}"/>
  <bookViews>
    <workbookView xWindow="1220" yWindow="460" windowWidth="26420" windowHeight="16420" activeTab="2" xr2:uid="{2BC1D3C3-E5A9-9746-BB7F-74EEB68A715D}"/>
  </bookViews>
  <sheets>
    <sheet name="Ingredientes" sheetId="1" r:id="rId1"/>
    <sheet name="Plantilla en blanco" sheetId="2" r:id="rId2"/>
    <sheet name="Hummus" sheetId="6" r:id="rId3"/>
    <sheet name="Garbanzo cocido (subelaboración" sheetId="7" r:id="rId4"/>
    <sheet name="Garbanzo hidratado (subelaborac" sheetId="11" r:id="rId5"/>
    <sheet name="Tahini (subelaboración)" sheetId="8" r:id="rId6"/>
    <sheet name="Zumo de limón amarillo" sheetId="9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6" l="1"/>
  <c r="E10" i="9"/>
  <c r="E12" i="8"/>
  <c r="E11" i="8"/>
  <c r="E10" i="8"/>
  <c r="H4" i="1"/>
  <c r="G4" i="1" s="1"/>
  <c r="H5" i="1"/>
  <c r="G5" i="1" s="1"/>
  <c r="H6" i="1"/>
  <c r="G6" i="1" s="1"/>
  <c r="F14" i="6" s="1"/>
  <c r="H7" i="1"/>
  <c r="G7" i="1" s="1"/>
  <c r="H8" i="1"/>
  <c r="G8" i="1" s="1"/>
  <c r="H9" i="1"/>
  <c r="G9" i="1" s="1"/>
  <c r="F11" i="8" s="1"/>
  <c r="H10" i="1"/>
  <c r="G10" i="1" s="1"/>
  <c r="F10" i="8" s="1"/>
  <c r="H11" i="1"/>
  <c r="G11" i="1" s="1"/>
  <c r="H12" i="1"/>
  <c r="G12" i="1" s="1"/>
  <c r="H13" i="1"/>
  <c r="G13" i="1" s="1"/>
  <c r="H14" i="1"/>
  <c r="G14" i="1" s="1"/>
  <c r="F15" i="6" s="1"/>
  <c r="H3" i="1"/>
  <c r="E11" i="11"/>
  <c r="E10" i="11"/>
  <c r="E14" i="7"/>
  <c r="E13" i="7"/>
  <c r="E12" i="7"/>
  <c r="E11" i="7"/>
  <c r="E10" i="7"/>
  <c r="E18" i="6"/>
  <c r="E17" i="6"/>
  <c r="B6" i="6"/>
  <c r="E16" i="6"/>
  <c r="E15" i="6"/>
  <c r="E14" i="6"/>
  <c r="E13" i="6"/>
  <c r="E12" i="6"/>
  <c r="E11" i="6"/>
  <c r="E10" i="6"/>
  <c r="E11" i="2"/>
  <c r="G11" i="2" s="1"/>
  <c r="E12" i="2"/>
  <c r="G12" i="2" s="1"/>
  <c r="E13" i="2"/>
  <c r="G13" i="2" s="1"/>
  <c r="E14" i="2"/>
  <c r="G14" i="2" s="1"/>
  <c r="E15" i="2"/>
  <c r="G15" i="2" s="1"/>
  <c r="E16" i="2"/>
  <c r="G16" i="2" s="1"/>
  <c r="E17" i="2"/>
  <c r="G17" i="2" s="1"/>
  <c r="E10" i="2"/>
  <c r="G10" i="2" s="1"/>
  <c r="F12" i="7" l="1"/>
  <c r="G12" i="7" s="1"/>
  <c r="F14" i="7"/>
  <c r="G14" i="7" s="1"/>
  <c r="F12" i="8"/>
  <c r="G12" i="8" s="1"/>
  <c r="F13" i="6"/>
  <c r="G13" i="6" s="1"/>
  <c r="F11" i="7"/>
  <c r="G11" i="7" s="1"/>
  <c r="G14" i="6"/>
  <c r="F12" i="6"/>
  <c r="F11" i="11"/>
  <c r="G11" i="11" s="1"/>
  <c r="F10" i="9"/>
  <c r="G10" i="9" s="1"/>
  <c r="G12" i="9" s="1"/>
  <c r="G13" i="9" s="1"/>
  <c r="G14" i="9" s="1"/>
  <c r="G5" i="9" s="1"/>
  <c r="F13" i="7"/>
  <c r="G13" i="7" s="1"/>
  <c r="F17" i="6"/>
  <c r="G12" i="6"/>
  <c r="F16" i="6"/>
  <c r="G16" i="6" s="1"/>
  <c r="G17" i="6"/>
  <c r="G15" i="6"/>
  <c r="G10" i="8"/>
  <c r="G11" i="8"/>
  <c r="G3" i="1"/>
  <c r="F10" i="11" s="1"/>
  <c r="G10" i="11" s="1"/>
  <c r="G19" i="2"/>
  <c r="G20" i="2" s="1"/>
  <c r="G21" i="2" s="1"/>
  <c r="G5" i="2" s="1"/>
  <c r="G7" i="9" l="1"/>
  <c r="G6" i="9"/>
  <c r="F18" i="6" s="1"/>
  <c r="G18" i="6" s="1"/>
  <c r="G14" i="8"/>
  <c r="G15" i="8" s="1"/>
  <c r="G16" i="8" s="1"/>
  <c r="G5" i="8" s="1"/>
  <c r="G13" i="11"/>
  <c r="G14" i="11" s="1"/>
  <c r="G15" i="11" s="1"/>
  <c r="G5" i="11" s="1"/>
  <c r="G7" i="2"/>
  <c r="G6" i="2"/>
  <c r="G6" i="8" l="1"/>
  <c r="F11" i="6" s="1"/>
  <c r="G11" i="6" s="1"/>
  <c r="G7" i="8"/>
  <c r="G7" i="11"/>
  <c r="G6" i="11"/>
  <c r="F10" i="7" s="1"/>
  <c r="G10" i="7" s="1"/>
  <c r="G16" i="7" s="1"/>
  <c r="G17" i="7" s="1"/>
  <c r="G18" i="7" s="1"/>
  <c r="G5" i="7" s="1"/>
  <c r="G6" i="7" s="1"/>
  <c r="G10" i="6" s="1"/>
  <c r="G20" i="6" l="1"/>
  <c r="G21" i="6" s="1"/>
  <c r="G22" i="6" s="1"/>
  <c r="G5" i="6" s="1"/>
  <c r="G6" i="6" s="1"/>
  <c r="G7" i="7"/>
  <c r="G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2" authorId="0" shapeId="0" xr:uid="{D4FD6359-C87D-B64B-971C-A882C39C761D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1. Lácteos, huevos y derivados
</t>
        </r>
        <r>
          <rPr>
            <sz val="10"/>
            <color rgb="FF000000"/>
            <rFont val="Tahoma"/>
            <family val="2"/>
          </rPr>
          <t xml:space="preserve">2. Cereales, legumbres y semillas
</t>
        </r>
        <r>
          <rPr>
            <sz val="10"/>
            <color rgb="FF000000"/>
            <rFont val="Tahoma"/>
            <family val="2"/>
          </rPr>
          <t xml:space="preserve">3. Aceites, vinagres y grasas
</t>
        </r>
        <r>
          <rPr>
            <sz val="10"/>
            <color rgb="FF000000"/>
            <rFont val="Tahoma"/>
            <family val="2"/>
          </rPr>
          <t xml:space="preserve">4. Frutas y verduras
</t>
        </r>
        <r>
          <rPr>
            <sz val="10"/>
            <color rgb="FF000000"/>
            <rFont val="Tahoma"/>
            <family val="2"/>
          </rPr>
          <t xml:space="preserve">5. Carnes y pescados
</t>
        </r>
        <r>
          <rPr>
            <sz val="10"/>
            <color rgb="FF000000"/>
            <rFont val="Tahoma"/>
            <family val="2"/>
          </rPr>
          <t xml:space="preserve">6. Conservas, enlatados y abarrotes
</t>
        </r>
        <r>
          <rPr>
            <sz val="10"/>
            <color rgb="FF000000"/>
            <rFont val="Tahoma"/>
            <family val="2"/>
          </rPr>
          <t xml:space="preserve">7. Especias y condimentos
</t>
        </r>
        <r>
          <rPr>
            <sz val="10"/>
            <color rgb="FF000000"/>
            <rFont val="Tahoma"/>
            <family val="2"/>
          </rPr>
          <t xml:space="preserve">8. Otros
</t>
        </r>
      </text>
    </comment>
    <comment ref="D2" authorId="0" shapeId="0" xr:uid="{89EB3989-E94C-6149-95B9-E4D68959BE57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Cantidad en el que se presenta el producto, seguido de su respectiva unidad de medida (kg, litros o piezas). Si viene en cajas, botes o algun formato similar, debes convertirlo a kg, litros o piezas. 
</t>
        </r>
        <r>
          <rPr>
            <sz val="10"/>
            <color rgb="FF000000"/>
            <rFont val="Tahoma"/>
            <family val="2"/>
          </rPr>
          <t>Muchas proteínas, frutas y verduras que se venden a granel o al peso se indican como tamaño de presentación 1 (seguido de su respectiva unidad de medida)</t>
        </r>
      </text>
    </comment>
    <comment ref="E2" authorId="0" shapeId="0" xr:uid="{4B18636A-1BF1-1048-B505-D34EF78ECABA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kg, litros o unidades.</t>
        </r>
      </text>
    </comment>
    <comment ref="G2" authorId="0" shapeId="0" xr:uid="{8F02E6AC-CA83-5040-8E57-C0E91661F0F6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Esta celda es automática, y te calcula el coste por kg, litro o pieza.</t>
        </r>
      </text>
    </comment>
    <comment ref="H2" authorId="0" shapeId="0" xr:uid="{A8808D13-CE6F-7D4C-8DB9-80E7F3FB4BDE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Esta celda es automática, calcula el precio promedio del producto. </t>
        </r>
      </text>
    </comment>
    <comment ref="I2" authorId="0" shapeId="0" xr:uid="{E20C7CED-4268-8C42-A008-500A7BCEABC4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Aqui debes introducir el precio del producto TAL Y COMO LO COMPRAS. 	</t>
        </r>
      </text>
    </comment>
    <comment ref="J2" authorId="0" shapeId="0" xr:uid="{BD80785A-F678-AC4B-8DD9-B0FBD1565EF6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  <scheme val="minor"/>
          </rPr>
          <t xml:space="preserve">Aqui debes introducir el precio del producto TAL Y COMO LO COMPRAS. 	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</text>
    </comment>
    <comment ref="K2" authorId="0" shapeId="0" xr:uid="{AFFE7B38-CE1C-2748-95BE-B09D6FCEDA5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  <scheme val="minor"/>
          </rPr>
          <t xml:space="preserve">Aqui debes introducir el precio del producto TAL Y COMO LO COMPRAS. 	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9" authorId="0" shapeId="0" xr:uid="{DAC05F97-26EF-DF40-9D7B-DEEF33D623D4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Cantidad de producto ya listo para usar. </t>
        </r>
      </text>
    </comment>
    <comment ref="C9" authorId="0" shapeId="0" xr:uid="{2D71B6BC-875D-0F4B-817A-7340BEE5DC3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kg, litros o unidades. </t>
        </r>
      </text>
    </comment>
    <comment ref="D9" authorId="0" shapeId="0" xr:uid="{3DF9B8EB-789E-0745-9C78-A6CF0D0B5765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Porcentaje del producto que se desperdicia en su prelaboración. OJO aquí no se considera merma la pérdida de peso en la cocción.</t>
        </r>
      </text>
    </comment>
    <comment ref="E9" authorId="0" shapeId="0" xr:uid="{46B60FC4-2459-A74B-8C61-8FE8D8EC31B8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Cantidad de producto antes de su preelaboración.
</t>
        </r>
      </text>
    </comment>
    <comment ref="F9" authorId="0" shapeId="0" xr:uid="{D794924B-1DF2-934C-B341-4E056F8E97BA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Si es un INGREDIENTE: Precio por kg, litro o unidad. Esta celda debe reflejar el valor de su precio unitario de la hoja INGREDIENTES para que se actualice automáticamente.
Si es una SUB-ELABORACIÓN: Esta celda debe reflejar el precio por kg de la receta costeada en su respectiva hoja para que se actualice automáticamente. </t>
        </r>
      </text>
    </comment>
    <comment ref="F20" authorId="0" shapeId="0" xr:uid="{FEE082C3-9133-154C-9746-521BE54B1372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Margen que deseas aplicar a la receta para absorber alguna fluctuación puntual. Recomiendo entre 5 y 10%.</t>
        </r>
      </text>
    </comment>
  </commentList>
</comments>
</file>

<file path=xl/sharedStrings.xml><?xml version="1.0" encoding="utf-8"?>
<sst xmlns="http://schemas.openxmlformats.org/spreadsheetml/2006/main" count="213" uniqueCount="67">
  <si>
    <t>Grupo</t>
  </si>
  <si>
    <t>Ingrediente</t>
  </si>
  <si>
    <t>Marca comercial</t>
  </si>
  <si>
    <t>Tamaño de la presentación</t>
  </si>
  <si>
    <t>Unidad</t>
  </si>
  <si>
    <t>Precio medio de compra</t>
  </si>
  <si>
    <t>Coste de ingrediente / unidad</t>
  </si>
  <si>
    <t>Proveedor</t>
  </si>
  <si>
    <t>Precio 1</t>
  </si>
  <si>
    <t>Precio 2</t>
  </si>
  <si>
    <t>Precio 3</t>
  </si>
  <si>
    <t>RECETA</t>
  </si>
  <si>
    <t>Clasificación</t>
  </si>
  <si>
    <t>Rendimiento de la receta en kg</t>
  </si>
  <si>
    <t>Raciones</t>
  </si>
  <si>
    <t>Coste total</t>
  </si>
  <si>
    <t>Cote por kg</t>
  </si>
  <si>
    <t>Coste por ración</t>
  </si>
  <si>
    <t>Sub-elaboración / Ingrediente</t>
  </si>
  <si>
    <t>Cantidad neta</t>
  </si>
  <si>
    <t>Merma</t>
  </si>
  <si>
    <t>Cantidad bruta</t>
  </si>
  <si>
    <t>Precio unitario</t>
  </si>
  <si>
    <t>Coste de ingredientes</t>
  </si>
  <si>
    <t>Margen de seguridad</t>
  </si>
  <si>
    <t>kg</t>
  </si>
  <si>
    <t>HUMMUS</t>
  </si>
  <si>
    <t>Entradas</t>
  </si>
  <si>
    <t>Garbanzo cocido*</t>
  </si>
  <si>
    <t>Tahini*</t>
  </si>
  <si>
    <t>Aceite vegetal</t>
  </si>
  <si>
    <t>Comino molido</t>
  </si>
  <si>
    <t>Sal fina</t>
  </si>
  <si>
    <t>Pimienta negra molida</t>
  </si>
  <si>
    <t>Agua</t>
  </si>
  <si>
    <t xml:space="preserve">Ajo </t>
  </si>
  <si>
    <t>Jugo de limón amarillo</t>
  </si>
  <si>
    <t>Subelaboraciones</t>
  </si>
  <si>
    <t>Garbanzo cocido</t>
  </si>
  <si>
    <t>Garbanzo hidratado*</t>
  </si>
  <si>
    <t>Garbanzo seco</t>
  </si>
  <si>
    <t>Precissimo</t>
  </si>
  <si>
    <t xml:space="preserve">Agua </t>
  </si>
  <si>
    <t>L</t>
  </si>
  <si>
    <t xml:space="preserve">Soriana </t>
  </si>
  <si>
    <t xml:space="preserve">Agua corriente </t>
  </si>
  <si>
    <t>Cebolla blanca</t>
  </si>
  <si>
    <t>Ajo</t>
  </si>
  <si>
    <t>Zanahoria</t>
  </si>
  <si>
    <t xml:space="preserve">Cebolla blanca </t>
  </si>
  <si>
    <t>Ajo, pelado</t>
  </si>
  <si>
    <t>SunnyFarm</t>
  </si>
  <si>
    <t>CostCo</t>
  </si>
  <si>
    <t>Tahini</t>
  </si>
  <si>
    <t>Aceite de oliva suave</t>
  </si>
  <si>
    <t>Ajonjolí tostado</t>
  </si>
  <si>
    <t>Mizkan</t>
  </si>
  <si>
    <t>Distmar</t>
  </si>
  <si>
    <t>Aceite de oliva, suave</t>
  </si>
  <si>
    <t>Kirkland signature</t>
  </si>
  <si>
    <t>Zumo de limón amarillo</t>
  </si>
  <si>
    <t>Limón amarillo</t>
  </si>
  <si>
    <t>Cristal</t>
  </si>
  <si>
    <t>Comino, molido</t>
  </si>
  <si>
    <t>Pimienta negra, entera</t>
  </si>
  <si>
    <t>Don Ramon</t>
  </si>
  <si>
    <t>Plantilla de Alex Cortijo (@alexcortijo)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</si>
</sst>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#,##0.000"/>
    <numFmt numFmtId="170" formatCode="0.000"/>
  </numFmts>
  <fonts count="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  <scheme val="minor"/>
    </font>
    <font>
      <b/>
      <i/>
      <sz val="16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10" fontId="0" fillId="0" borderId="0" xfId="0" applyNumberFormat="1"/>
    <xf numFmtId="0" fontId="1" fillId="2" borderId="1" xfId="0" applyFont="1" applyFill="1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1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vertical="top" wrapText="1"/>
    </xf>
    <xf numFmtId="0" fontId="1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3" borderId="1" xfId="0" applyFill="1" applyBorder="1"/>
    <xf numFmtId="0" fontId="0" fillId="0" borderId="0" xfId="0" applyFill="1"/>
    <xf numFmtId="10" fontId="1" fillId="0" borderId="1" xfId="0" applyNumberFormat="1" applyFont="1" applyFill="1" applyBorder="1"/>
    <xf numFmtId="2" fontId="0" fillId="3" borderId="1" xfId="0" applyNumberFormat="1" applyFill="1" applyBorder="1"/>
    <xf numFmtId="170" fontId="0" fillId="3" borderId="1" xfId="0" applyNumberFormat="1" applyFill="1" applyBorder="1"/>
    <xf numFmtId="2" fontId="0" fillId="0" borderId="0" xfId="0" applyNumberFormat="1"/>
    <xf numFmtId="2" fontId="1" fillId="2" borderId="1" xfId="0" applyNumberFormat="1" applyFont="1" applyFill="1" applyBorder="1" applyAlignment="1">
      <alignment horizontal="center" vertical="center" wrapText="1"/>
    </xf>
    <xf numFmtId="2" fontId="0" fillId="3" borderId="0" xfId="0" applyNumberFormat="1" applyFill="1"/>
    <xf numFmtId="49" fontId="0" fillId="0" borderId="1" xfId="0" applyNumberFormat="1" applyFont="1" applyFill="1" applyBorder="1" applyAlignment="1">
      <alignment vertical="top" wrapText="1"/>
    </xf>
    <xf numFmtId="168" fontId="0" fillId="0" borderId="1" xfId="0" applyNumberFormat="1" applyFont="1" applyFill="1" applyBorder="1" applyAlignment="1">
      <alignment vertical="top" wrapText="1"/>
    </xf>
    <xf numFmtId="10" fontId="0" fillId="0" borderId="1" xfId="0" applyNumberFormat="1" applyFill="1" applyBorder="1"/>
    <xf numFmtId="0" fontId="0" fillId="0" borderId="1" xfId="0" applyFill="1" applyBorder="1"/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170" fontId="0" fillId="0" borderId="1" xfId="0" applyNumberFormat="1" applyFill="1" applyBorder="1"/>
    <xf numFmtId="2" fontId="0" fillId="0" borderId="1" xfId="0" applyNumberFormat="1" applyFill="1" applyBorder="1"/>
    <xf numFmtId="0" fontId="1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10" fontId="0" fillId="0" borderId="0" xfId="0" applyNumberFormat="1" applyFill="1"/>
    <xf numFmtId="0" fontId="0" fillId="0" borderId="1" xfId="0" applyFont="1" applyFill="1" applyBorder="1" applyAlignment="1">
      <alignment horizontal="left"/>
    </xf>
    <xf numFmtId="170" fontId="0" fillId="3" borderId="1" xfId="0" applyNumberFormat="1" applyFont="1" applyFill="1" applyBorder="1"/>
    <xf numFmtId="0" fontId="0" fillId="0" borderId="1" xfId="0" applyFont="1" applyFill="1" applyBorder="1"/>
    <xf numFmtId="170" fontId="0" fillId="0" borderId="1" xfId="0" applyNumberFormat="1" applyFont="1" applyFill="1" applyBorder="1"/>
    <xf numFmtId="0" fontId="0" fillId="0" borderId="0" xfId="0" applyFont="1" applyFill="1"/>
    <xf numFmtId="10" fontId="0" fillId="0" borderId="1" xfId="0" applyNumberFormat="1" applyFont="1" applyFill="1" applyBorder="1"/>
    <xf numFmtId="2" fontId="0" fillId="0" borderId="1" xfId="0" applyNumberFormat="1" applyFont="1" applyFill="1" applyBorder="1"/>
  </cellXfs>
  <cellStyles count="1">
    <cellStyle name="Normal" xfId="0" builtinId="0"/>
  </cellStyles>
  <dxfs count="6">
    <dxf>
      <numFmt numFmtId="2" formatCode="0.00"/>
      <fill>
        <patternFill patternType="solid">
          <fgColor indexed="64"/>
          <bgColor theme="7" tint="0.79998168889431442"/>
        </patternFill>
      </fill>
    </dxf>
    <dxf>
      <numFmt numFmtId="2" formatCode="0.00"/>
    </dxf>
    <dxf>
      <numFmt numFmtId="2" formatCode="0.00"/>
      <fill>
        <patternFill patternType="solid">
          <fgColor indexed="64"/>
          <bgColor theme="7" tint="0.79998168889431442"/>
        </patternFill>
      </fill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19325B-034D-794E-BB81-68CBB4D8E642}" name="Tabla1" displayName="Tabla1" ref="A2:K14" totalsRowShown="0" headerRowDxfId="5">
  <autoFilter ref="A2:K14" xr:uid="{672543FC-00A0-C445-9F33-619A64A8CD2B}"/>
  <tableColumns count="11">
    <tableColumn id="1" xr3:uid="{3153A124-FDB7-CC4D-9026-FB0F3ECD41C0}" name="Grupo"/>
    <tableColumn id="2" xr3:uid="{ECB6277F-8E3D-5D4B-B130-5A08EDE3787D}" name="Ingrediente"/>
    <tableColumn id="3" xr3:uid="{64C15795-4C21-7841-A721-F6DF0E94B553}" name="Marca comercial"/>
    <tableColumn id="4" xr3:uid="{99E267D1-0D6D-8A40-9D15-C9CA2E211F80}" name="Tamaño de la presentación"/>
    <tableColumn id="5" xr3:uid="{3E6F724B-19D1-994B-80A4-353E724F500A}" name="Unidad"/>
    <tableColumn id="12" xr3:uid="{702EA04C-5899-7242-94BB-FAFFF07CCCDB}" name="Proveedor"/>
    <tableColumn id="13" xr3:uid="{7E17E39C-765B-414E-BADB-86B4CDA904D6}" name="Coste de ingrediente / unidad" dataDxfId="2">
      <calculatedColumnFormula>Tabla1[[#This Row],[Precio medio de compra]]/Tabla1[[#This Row],[Tamaño de la presentación]]</calculatedColumnFormula>
    </tableColumn>
    <tableColumn id="6" xr3:uid="{12FEF376-FDBD-4C4F-8D26-E00507224ADA}" name="Precio medio de compra" dataDxfId="0">
      <calculatedColumnFormula>AVERAGE(Tabla1[[#This Row],[Precio 1]:[Precio 3]])</calculatedColumnFormula>
    </tableColumn>
    <tableColumn id="9" xr3:uid="{8603917F-121E-2E4B-B24F-5024351582F7}" name="Precio 1" dataDxfId="1"/>
    <tableColumn id="10" xr3:uid="{A09C687D-0DA8-EE45-B136-50FF90CCA7DC}" name="Precio 2" dataDxfId="4"/>
    <tableColumn id="11" xr3:uid="{571541D1-00CD-674E-A000-A7635FF650BD}" name="Precio 3" dataDxfId="3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8648B-43FB-6541-808F-B7949E6D1BA6}">
  <dimension ref="A1:K22"/>
  <sheetViews>
    <sheetView workbookViewId="0">
      <selection activeCell="G3" sqref="G3"/>
    </sheetView>
  </sheetViews>
  <sheetFormatPr baseColWidth="10" defaultRowHeight="16"/>
  <cols>
    <col min="2" max="2" width="25.83203125" customWidth="1"/>
    <col min="3" max="3" width="21.5" customWidth="1"/>
    <col min="4" max="4" width="14" customWidth="1"/>
    <col min="8" max="8" width="11.83203125" customWidth="1"/>
  </cols>
  <sheetData>
    <row r="1" spans="1:11" ht="33" customHeight="1">
      <c r="A1" s="22" t="s">
        <v>66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 ht="83" customHeight="1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7</v>
      </c>
      <c r="G2" s="1" t="s">
        <v>6</v>
      </c>
      <c r="H2" s="1" t="s">
        <v>5</v>
      </c>
      <c r="I2" s="1" t="s">
        <v>8</v>
      </c>
      <c r="J2" s="1" t="s">
        <v>9</v>
      </c>
      <c r="K2" s="1" t="s">
        <v>10</v>
      </c>
    </row>
    <row r="3" spans="1:11">
      <c r="A3">
        <v>2</v>
      </c>
      <c r="B3" t="s">
        <v>40</v>
      </c>
      <c r="C3" t="s">
        <v>41</v>
      </c>
      <c r="D3">
        <v>0.5</v>
      </c>
      <c r="E3" t="s">
        <v>25</v>
      </c>
      <c r="F3" t="s">
        <v>44</v>
      </c>
      <c r="G3" s="17">
        <f>Tabla1[[#This Row],[Precio medio de compra]]/Tabla1[[#This Row],[Tamaño de la presentación]]</f>
        <v>90.333333333333329</v>
      </c>
      <c r="H3" s="17">
        <f>AVERAGE(Tabla1[[#This Row],[Precio 1]:[Precio 3]])</f>
        <v>45.166666666666664</v>
      </c>
      <c r="I3" s="15">
        <v>44.5</v>
      </c>
      <c r="J3" s="15">
        <v>46.5</v>
      </c>
      <c r="K3" s="15">
        <v>44.5</v>
      </c>
    </row>
    <row r="4" spans="1:11">
      <c r="A4">
        <v>8</v>
      </c>
      <c r="B4" t="s">
        <v>45</v>
      </c>
      <c r="D4">
        <v>1</v>
      </c>
      <c r="E4" t="s">
        <v>43</v>
      </c>
      <c r="G4" s="17">
        <f>Tabla1[[#This Row],[Precio medio de compra]]/Tabla1[[#This Row],[Tamaño de la presentación]]</f>
        <v>3</v>
      </c>
      <c r="H4" s="17">
        <f>AVERAGE(Tabla1[[#This Row],[Precio 1]:[Precio 3]])</f>
        <v>3</v>
      </c>
      <c r="I4" s="15">
        <v>3</v>
      </c>
      <c r="J4" s="15"/>
      <c r="K4" s="15"/>
    </row>
    <row r="5" spans="1:11">
      <c r="A5">
        <v>4</v>
      </c>
      <c r="B5" t="s">
        <v>49</v>
      </c>
      <c r="D5">
        <v>1</v>
      </c>
      <c r="E5" t="s">
        <v>25</v>
      </c>
      <c r="F5" t="s">
        <v>44</v>
      </c>
      <c r="G5" s="17">
        <f>Tabla1[[#This Row],[Precio medio de compra]]/Tabla1[[#This Row],[Tamaño de la presentación]]</f>
        <v>37.533333333333331</v>
      </c>
      <c r="H5" s="17">
        <f>AVERAGE(Tabla1[[#This Row],[Precio 1]:[Precio 3]])</f>
        <v>37.533333333333331</v>
      </c>
      <c r="I5" s="15">
        <v>39.799999999999997</v>
      </c>
      <c r="J5" s="15">
        <v>46</v>
      </c>
      <c r="K5" s="15">
        <v>26.8</v>
      </c>
    </row>
    <row r="6" spans="1:11">
      <c r="A6">
        <v>4</v>
      </c>
      <c r="B6" t="s">
        <v>50</v>
      </c>
      <c r="C6" t="s">
        <v>51</v>
      </c>
      <c r="D6">
        <v>1.1299999999999999</v>
      </c>
      <c r="E6" t="s">
        <v>25</v>
      </c>
      <c r="F6" t="s">
        <v>52</v>
      </c>
      <c r="G6" s="17">
        <f>Tabla1[[#This Row],[Precio medio de compra]]/Tabla1[[#This Row],[Tamaño de la presentación]]</f>
        <v>144.52654867256638</v>
      </c>
      <c r="H6" s="17">
        <f>AVERAGE(Tabla1[[#This Row],[Precio 1]:[Precio 3]])</f>
        <v>163.315</v>
      </c>
      <c r="I6" s="15">
        <v>161.63</v>
      </c>
      <c r="J6" s="15">
        <v>165</v>
      </c>
      <c r="K6" s="15"/>
    </row>
    <row r="7" spans="1:11">
      <c r="A7">
        <v>4</v>
      </c>
      <c r="B7" t="s">
        <v>48</v>
      </c>
      <c r="D7">
        <v>1</v>
      </c>
      <c r="E7" t="s">
        <v>25</v>
      </c>
      <c r="F7" t="s">
        <v>44</v>
      </c>
      <c r="G7" s="17">
        <f>Tabla1[[#This Row],[Precio medio de compra]]/Tabla1[[#This Row],[Tamaño de la presentación]]</f>
        <v>17.166666666666668</v>
      </c>
      <c r="H7" s="17">
        <f>AVERAGE(Tabla1[[#This Row],[Precio 1]:[Precio 3]])</f>
        <v>17.166666666666668</v>
      </c>
      <c r="I7" s="15">
        <v>17</v>
      </c>
      <c r="J7" s="15">
        <v>17.5</v>
      </c>
      <c r="K7" s="15">
        <v>17</v>
      </c>
    </row>
    <row r="8" spans="1:11">
      <c r="A8">
        <v>7</v>
      </c>
      <c r="B8" t="s">
        <v>32</v>
      </c>
      <c r="C8" t="s">
        <v>41</v>
      </c>
      <c r="D8">
        <v>1</v>
      </c>
      <c r="E8" t="s">
        <v>25</v>
      </c>
      <c r="F8" t="s">
        <v>44</v>
      </c>
      <c r="G8" s="17">
        <f>Tabla1[[#This Row],[Precio medio de compra]]/Tabla1[[#This Row],[Tamaño de la presentación]]</f>
        <v>14.85</v>
      </c>
      <c r="H8" s="17">
        <f>AVERAGE(Tabla1[[#This Row],[Precio 1]:[Precio 3]])</f>
        <v>14.85</v>
      </c>
      <c r="I8" s="15">
        <v>14.85</v>
      </c>
      <c r="J8" s="15">
        <v>14.85</v>
      </c>
      <c r="K8" s="15">
        <v>14.85</v>
      </c>
    </row>
    <row r="9" spans="1:11">
      <c r="A9">
        <v>2</v>
      </c>
      <c r="B9" t="s">
        <v>55</v>
      </c>
      <c r="C9" t="s">
        <v>56</v>
      </c>
      <c r="D9">
        <v>1</v>
      </c>
      <c r="E9" t="s">
        <v>25</v>
      </c>
      <c r="F9" t="s">
        <v>57</v>
      </c>
      <c r="G9" s="17">
        <f>Tabla1[[#This Row],[Precio medio de compra]]/Tabla1[[#This Row],[Tamaño de la presentación]]</f>
        <v>180</v>
      </c>
      <c r="H9" s="17">
        <f>AVERAGE(Tabla1[[#This Row],[Precio 1]:[Precio 3]])</f>
        <v>180</v>
      </c>
      <c r="I9" s="15">
        <v>180</v>
      </c>
      <c r="J9" s="15">
        <v>180</v>
      </c>
      <c r="K9" s="15"/>
    </row>
    <row r="10" spans="1:11">
      <c r="A10">
        <v>3</v>
      </c>
      <c r="B10" t="s">
        <v>58</v>
      </c>
      <c r="C10" t="s">
        <v>59</v>
      </c>
      <c r="D10">
        <v>6</v>
      </c>
      <c r="E10" t="s">
        <v>43</v>
      </c>
      <c r="F10" t="s">
        <v>52</v>
      </c>
      <c r="G10" s="17">
        <f>Tabla1[[#This Row],[Precio medio de compra]]/Tabla1[[#This Row],[Tamaño de la presentación]]</f>
        <v>166.5</v>
      </c>
      <c r="H10" s="17">
        <f>AVERAGE(Tabla1[[#This Row],[Precio 1]:[Precio 3]])</f>
        <v>999</v>
      </c>
      <c r="I10" s="15">
        <v>999</v>
      </c>
      <c r="J10" s="15"/>
      <c r="K10" s="15"/>
    </row>
    <row r="11" spans="1:11">
      <c r="A11">
        <v>4</v>
      </c>
      <c r="B11" t="s">
        <v>61</v>
      </c>
      <c r="D11">
        <v>1</v>
      </c>
      <c r="E11" t="s">
        <v>25</v>
      </c>
      <c r="F11" t="s">
        <v>44</v>
      </c>
      <c r="G11" s="17">
        <f>Tabla1[[#This Row],[Precio medio de compra]]/Tabla1[[#This Row],[Tamaño de la presentación]]</f>
        <v>48.216666666666669</v>
      </c>
      <c r="H11" s="17">
        <f>AVERAGE(Tabla1[[#This Row],[Precio 1]:[Precio 3]])</f>
        <v>48.216666666666669</v>
      </c>
      <c r="I11" s="15">
        <v>48.65</v>
      </c>
      <c r="J11" s="15">
        <v>51</v>
      </c>
      <c r="K11" s="15">
        <v>45</v>
      </c>
    </row>
    <row r="12" spans="1:11">
      <c r="A12">
        <v>3</v>
      </c>
      <c r="B12" t="s">
        <v>30</v>
      </c>
      <c r="C12" t="s">
        <v>62</v>
      </c>
      <c r="D12">
        <v>20</v>
      </c>
      <c r="E12" t="s">
        <v>43</v>
      </c>
      <c r="F12" t="s">
        <v>52</v>
      </c>
      <c r="G12" s="17">
        <f>Tabla1[[#This Row],[Precio medio de compra]]/Tabla1[[#This Row],[Tamaño de la presentación]]</f>
        <v>45.983999999999995</v>
      </c>
      <c r="H12" s="17">
        <f>AVERAGE(Tabla1[[#This Row],[Precio 1]:[Precio 3]])</f>
        <v>919.68</v>
      </c>
      <c r="I12" s="15">
        <v>919.68</v>
      </c>
      <c r="J12" s="15">
        <v>919.68</v>
      </c>
      <c r="K12" s="15">
        <v>919.68</v>
      </c>
    </row>
    <row r="13" spans="1:11">
      <c r="A13">
        <v>7</v>
      </c>
      <c r="B13" t="s">
        <v>63</v>
      </c>
      <c r="C13" t="s">
        <v>41</v>
      </c>
      <c r="D13">
        <v>0.06</v>
      </c>
      <c r="E13" t="s">
        <v>25</v>
      </c>
      <c r="F13" t="s">
        <v>44</v>
      </c>
      <c r="G13" s="17">
        <f>Tabla1[[#This Row],[Precio medio de compra]]/Tabla1[[#This Row],[Tamaño de la presentación]]</f>
        <v>244.99999999999997</v>
      </c>
      <c r="H13" s="17">
        <f>AVERAGE(Tabla1[[#This Row],[Precio 1]:[Precio 3]])</f>
        <v>14.699999999999998</v>
      </c>
      <c r="I13" s="15">
        <v>14.7</v>
      </c>
      <c r="J13" s="15">
        <v>14.7</v>
      </c>
      <c r="K13" s="15">
        <v>14.7</v>
      </c>
    </row>
    <row r="14" spans="1:11">
      <c r="A14">
        <v>7</v>
      </c>
      <c r="B14" t="s">
        <v>64</v>
      </c>
      <c r="C14" t="s">
        <v>65</v>
      </c>
      <c r="D14">
        <v>0.6</v>
      </c>
      <c r="E14" t="s">
        <v>25</v>
      </c>
      <c r="F14" t="s">
        <v>57</v>
      </c>
      <c r="G14" s="17">
        <f>Tabla1[[#This Row],[Precio medio de compra]]/Tabla1[[#This Row],[Tamaño de la presentación]]</f>
        <v>245.3</v>
      </c>
      <c r="H14" s="17">
        <f>AVERAGE(Tabla1[[#This Row],[Precio 1]:[Precio 3]])</f>
        <v>147.18</v>
      </c>
      <c r="I14" s="15">
        <v>147.18</v>
      </c>
      <c r="J14" s="15">
        <v>147.18</v>
      </c>
      <c r="K14" s="15">
        <v>147.18</v>
      </c>
    </row>
    <row r="15" spans="1:11">
      <c r="G15" s="15"/>
      <c r="H15" s="15"/>
      <c r="I15" s="15"/>
      <c r="J15" s="15"/>
      <c r="K15" s="15"/>
    </row>
    <row r="16" spans="1:11">
      <c r="G16" s="15"/>
      <c r="H16" s="15"/>
      <c r="I16" s="15"/>
      <c r="J16" s="15"/>
      <c r="K16" s="15"/>
    </row>
    <row r="17" spans="7:11">
      <c r="G17" s="15"/>
      <c r="H17" s="15"/>
      <c r="I17" s="15"/>
      <c r="J17" s="15"/>
      <c r="K17" s="15"/>
    </row>
    <row r="18" spans="7:11">
      <c r="G18" s="15"/>
      <c r="H18" s="15"/>
      <c r="I18" s="15"/>
      <c r="J18" s="15"/>
      <c r="K18" s="15"/>
    </row>
    <row r="19" spans="7:11">
      <c r="G19" s="15"/>
      <c r="H19" s="15"/>
      <c r="I19" s="15"/>
      <c r="J19" s="15"/>
      <c r="K19" s="15"/>
    </row>
    <row r="20" spans="7:11">
      <c r="G20" s="15"/>
      <c r="H20" s="15"/>
      <c r="I20" s="15"/>
      <c r="J20" s="15"/>
      <c r="K20" s="15"/>
    </row>
    <row r="21" spans="7:11">
      <c r="G21" s="15"/>
      <c r="H21" s="15"/>
      <c r="I21" s="15"/>
      <c r="J21" s="15"/>
      <c r="K21" s="15"/>
    </row>
    <row r="22" spans="7:11">
      <c r="G22" s="15"/>
      <c r="H22" s="15"/>
      <c r="I22" s="15"/>
      <c r="J22" s="15"/>
      <c r="K22" s="15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A1:K1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0F94C-0C84-5646-A324-09213F148D62}">
  <dimension ref="A1:K21"/>
  <sheetViews>
    <sheetView zoomScale="110" zoomScaleNormal="110" workbookViewId="0">
      <selection activeCell="I9" sqref="I9"/>
    </sheetView>
  </sheetViews>
  <sheetFormatPr baseColWidth="10" defaultRowHeight="16"/>
  <cols>
    <col min="1" max="1" width="28.1640625" customWidth="1"/>
  </cols>
  <sheetData>
    <row r="1" spans="1:11" ht="38" customHeight="1">
      <c r="A1" s="23" t="s">
        <v>66</v>
      </c>
      <c r="B1" s="23"/>
      <c r="C1" s="23"/>
      <c r="D1" s="23"/>
      <c r="E1" s="23"/>
      <c r="F1" s="23"/>
      <c r="G1" s="23"/>
      <c r="H1" s="24"/>
      <c r="I1" s="24"/>
      <c r="J1" s="24"/>
      <c r="K1" s="24"/>
    </row>
    <row r="2" spans="1:11">
      <c r="A2" s="3" t="s">
        <v>11</v>
      </c>
      <c r="B2" s="4"/>
      <c r="C2" s="4"/>
      <c r="D2" s="4"/>
      <c r="E2" s="4"/>
      <c r="F2" s="4"/>
      <c r="G2" s="4"/>
    </row>
    <row r="3" spans="1:11">
      <c r="A3" s="3" t="s">
        <v>12</v>
      </c>
      <c r="B3" s="4"/>
      <c r="C3" s="4"/>
      <c r="D3" s="4"/>
      <c r="E3" s="4"/>
      <c r="F3" s="4"/>
      <c r="G3" s="4"/>
    </row>
    <row r="5" spans="1:11">
      <c r="A5" s="5" t="s">
        <v>13</v>
      </c>
      <c r="B5" s="21"/>
      <c r="E5" s="8" t="s">
        <v>15</v>
      </c>
      <c r="F5" s="8"/>
      <c r="G5" s="10">
        <f>G21</f>
        <v>0</v>
      </c>
    </row>
    <row r="6" spans="1:11">
      <c r="A6" s="5" t="s">
        <v>14</v>
      </c>
      <c r="B6" s="21"/>
      <c r="E6" s="4" t="s">
        <v>16</v>
      </c>
      <c r="F6" s="4"/>
      <c r="G6" s="10" t="e">
        <f>G5/B5</f>
        <v>#DIV/0!</v>
      </c>
    </row>
    <row r="7" spans="1:11">
      <c r="E7" s="4" t="s">
        <v>17</v>
      </c>
      <c r="F7" s="4"/>
      <c r="G7" s="10" t="e">
        <f>G5/B6</f>
        <v>#DIV/0!</v>
      </c>
    </row>
    <row r="8" spans="1:11" ht="37" customHeight="1"/>
    <row r="9" spans="1:11" ht="34">
      <c r="A9" s="6" t="s">
        <v>18</v>
      </c>
      <c r="B9" s="6" t="s">
        <v>19</v>
      </c>
      <c r="C9" s="6" t="s">
        <v>4</v>
      </c>
      <c r="D9" s="6" t="s">
        <v>20</v>
      </c>
      <c r="E9" s="6" t="s">
        <v>21</v>
      </c>
      <c r="F9" s="6" t="s">
        <v>22</v>
      </c>
      <c r="G9" s="6" t="s">
        <v>15</v>
      </c>
    </row>
    <row r="10" spans="1:11">
      <c r="A10" s="18"/>
      <c r="B10" s="19"/>
      <c r="C10" s="7"/>
      <c r="D10" s="20"/>
      <c r="E10" s="14">
        <f>IF(B10&gt;0,B10+(B10*D10),B10)</f>
        <v>0</v>
      </c>
      <c r="F10" s="21"/>
      <c r="G10" s="10">
        <f>E10*F10</f>
        <v>0</v>
      </c>
    </row>
    <row r="11" spans="1:11">
      <c r="A11" s="18"/>
      <c r="B11" s="19"/>
      <c r="C11" s="7"/>
      <c r="D11" s="20"/>
      <c r="E11" s="14">
        <f t="shared" ref="E11:E17" si="0">IF(B11&gt;0,B11+(B11*D11),B11)</f>
        <v>0</v>
      </c>
      <c r="F11" s="21"/>
      <c r="G11" s="10">
        <f t="shared" ref="G11:G17" si="1">E11*F11</f>
        <v>0</v>
      </c>
    </row>
    <row r="12" spans="1:11">
      <c r="A12" s="18"/>
      <c r="B12" s="19"/>
      <c r="C12" s="7"/>
      <c r="D12" s="20"/>
      <c r="E12" s="14">
        <f t="shared" si="0"/>
        <v>0</v>
      </c>
      <c r="F12" s="21"/>
      <c r="G12" s="10">
        <f t="shared" si="1"/>
        <v>0</v>
      </c>
    </row>
    <row r="13" spans="1:11">
      <c r="A13" s="18"/>
      <c r="B13" s="19"/>
      <c r="C13" s="7"/>
      <c r="D13" s="20"/>
      <c r="E13" s="14">
        <f t="shared" si="0"/>
        <v>0</v>
      </c>
      <c r="F13" s="21"/>
      <c r="G13" s="10">
        <f t="shared" si="1"/>
        <v>0</v>
      </c>
    </row>
    <row r="14" spans="1:11">
      <c r="A14" s="18"/>
      <c r="B14" s="19"/>
      <c r="C14" s="7"/>
      <c r="D14" s="20"/>
      <c r="E14" s="14">
        <f t="shared" si="0"/>
        <v>0</v>
      </c>
      <c r="F14" s="21"/>
      <c r="G14" s="10">
        <f t="shared" si="1"/>
        <v>0</v>
      </c>
    </row>
    <row r="15" spans="1:11">
      <c r="A15" s="18"/>
      <c r="B15" s="19"/>
      <c r="C15" s="7"/>
      <c r="D15" s="20"/>
      <c r="E15" s="14">
        <f t="shared" si="0"/>
        <v>0</v>
      </c>
      <c r="F15" s="21"/>
      <c r="G15" s="10">
        <f t="shared" si="1"/>
        <v>0</v>
      </c>
    </row>
    <row r="16" spans="1:11">
      <c r="A16" s="18"/>
      <c r="B16" s="19"/>
      <c r="C16" s="7"/>
      <c r="D16" s="20"/>
      <c r="E16" s="14">
        <f t="shared" si="0"/>
        <v>0</v>
      </c>
      <c r="F16" s="21"/>
      <c r="G16" s="10">
        <f t="shared" si="1"/>
        <v>0</v>
      </c>
    </row>
    <row r="17" spans="1:7">
      <c r="A17" s="18"/>
      <c r="B17" s="19"/>
      <c r="C17" s="7"/>
      <c r="D17" s="20"/>
      <c r="E17" s="14">
        <f t="shared" si="0"/>
        <v>0</v>
      </c>
      <c r="F17" s="21"/>
      <c r="G17" s="10">
        <f t="shared" si="1"/>
        <v>0</v>
      </c>
    </row>
    <row r="18" spans="1:7">
      <c r="D18" s="2"/>
      <c r="F18" s="11"/>
    </row>
    <row r="19" spans="1:7">
      <c r="D19" s="9" t="s">
        <v>23</v>
      </c>
      <c r="E19" s="9"/>
      <c r="F19" s="9"/>
      <c r="G19" s="10">
        <f>SUM(G10:G17)</f>
        <v>0</v>
      </c>
    </row>
    <row r="20" spans="1:7">
      <c r="D20" s="9" t="s">
        <v>24</v>
      </c>
      <c r="E20" s="9"/>
      <c r="F20" s="12">
        <v>0.05</v>
      </c>
      <c r="G20" s="10">
        <f>G19*F20</f>
        <v>0</v>
      </c>
    </row>
    <row r="21" spans="1:7">
      <c r="D21" s="8" t="s">
        <v>15</v>
      </c>
      <c r="E21" s="8"/>
      <c r="F21" s="8"/>
      <c r="G21" s="10">
        <f>G19+G20</f>
        <v>0</v>
      </c>
    </row>
  </sheetData>
  <mergeCells count="8">
    <mergeCell ref="B2:G2"/>
    <mergeCell ref="B3:G3"/>
    <mergeCell ref="E7:F7"/>
    <mergeCell ref="E6:F6"/>
    <mergeCell ref="E5:F5"/>
    <mergeCell ref="D19:F19"/>
    <mergeCell ref="D21:F21"/>
    <mergeCell ref="D20:E20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559F9-87F8-3A41-BAC4-4A479CD723A0}">
  <dimension ref="A1:K22"/>
  <sheetViews>
    <sheetView tabSelected="1" zoomScaleNormal="100" workbookViewId="0">
      <selection activeCell="F21" sqref="F21"/>
    </sheetView>
  </sheetViews>
  <sheetFormatPr baseColWidth="10" defaultRowHeight="16"/>
  <cols>
    <col min="1" max="1" width="28.1640625" customWidth="1"/>
  </cols>
  <sheetData>
    <row r="1" spans="1:11" ht="38" customHeight="1">
      <c r="A1" s="23" t="s">
        <v>66</v>
      </c>
      <c r="B1" s="23"/>
      <c r="C1" s="23"/>
      <c r="D1" s="23"/>
      <c r="E1" s="23"/>
      <c r="F1" s="23"/>
      <c r="G1" s="23"/>
      <c r="H1" s="24"/>
      <c r="I1" s="24"/>
      <c r="J1" s="24"/>
      <c r="K1" s="24"/>
    </row>
    <row r="2" spans="1:11">
      <c r="A2" s="3" t="s">
        <v>11</v>
      </c>
      <c r="B2" s="4" t="s">
        <v>26</v>
      </c>
      <c r="C2" s="4"/>
      <c r="D2" s="4"/>
      <c r="E2" s="4"/>
      <c r="F2" s="4"/>
      <c r="G2" s="4"/>
    </row>
    <row r="3" spans="1:11">
      <c r="A3" s="3" t="s">
        <v>12</v>
      </c>
      <c r="B3" s="4" t="s">
        <v>27</v>
      </c>
      <c r="C3" s="4"/>
      <c r="D3" s="4"/>
      <c r="E3" s="4"/>
      <c r="F3" s="4"/>
      <c r="G3" s="4"/>
    </row>
    <row r="5" spans="1:11">
      <c r="A5" s="5" t="s">
        <v>13</v>
      </c>
      <c r="B5" s="25">
        <v>0.75</v>
      </c>
      <c r="E5" s="8" t="s">
        <v>15</v>
      </c>
      <c r="F5" s="8"/>
      <c r="G5" s="13">
        <f>G22</f>
        <v>46.424340557921738</v>
      </c>
    </row>
    <row r="6" spans="1:11">
      <c r="A6" s="5" t="s">
        <v>14</v>
      </c>
      <c r="B6" s="21">
        <f>B5/0.15</f>
        <v>5</v>
      </c>
      <c r="E6" s="4" t="s">
        <v>16</v>
      </c>
      <c r="F6" s="4"/>
      <c r="G6" s="13">
        <f>G5/B5</f>
        <v>61.899120743895651</v>
      </c>
    </row>
    <row r="7" spans="1:11">
      <c r="E7" s="4" t="s">
        <v>17</v>
      </c>
      <c r="F7" s="4"/>
      <c r="G7" s="13">
        <f>G5/B6</f>
        <v>9.2848681115843483</v>
      </c>
    </row>
    <row r="8" spans="1:11">
      <c r="G8" s="15"/>
    </row>
    <row r="9" spans="1:11" ht="37" customHeight="1">
      <c r="A9" s="6" t="s">
        <v>18</v>
      </c>
      <c r="B9" s="6" t="s">
        <v>19</v>
      </c>
      <c r="C9" s="6" t="s">
        <v>4</v>
      </c>
      <c r="D9" s="6" t="s">
        <v>20</v>
      </c>
      <c r="E9" s="6" t="s">
        <v>21</v>
      </c>
      <c r="F9" s="6" t="s">
        <v>22</v>
      </c>
      <c r="G9" s="16" t="s">
        <v>15</v>
      </c>
    </row>
    <row r="10" spans="1:11" ht="17">
      <c r="A10" s="18" t="s">
        <v>28</v>
      </c>
      <c r="B10" s="19">
        <v>0.5</v>
      </c>
      <c r="C10" s="7" t="s">
        <v>25</v>
      </c>
      <c r="D10" s="20">
        <v>0</v>
      </c>
      <c r="E10" s="14">
        <f>IF(B10&gt;0,B10+(B10*D10),B10)</f>
        <v>0.5</v>
      </c>
      <c r="F10" s="26">
        <f>'Garbanzo cocido (subelaboración'!G6</f>
        <v>61.601830591785195</v>
      </c>
      <c r="G10" s="13">
        <f>E10*F10</f>
        <v>30.800915295892597</v>
      </c>
    </row>
    <row r="11" spans="1:11" ht="17">
      <c r="A11" s="18" t="s">
        <v>29</v>
      </c>
      <c r="B11" s="19">
        <v>0.03</v>
      </c>
      <c r="C11" s="7" t="s">
        <v>25</v>
      </c>
      <c r="D11" s="20">
        <v>0</v>
      </c>
      <c r="E11" s="14">
        <f t="shared" ref="E11:E18" si="0">IF(B11&gt;0,B11+(B11*D11),B11)</f>
        <v>0.03</v>
      </c>
      <c r="F11" s="26">
        <f>'Tahini (subelaboración)'!G6</f>
        <v>179.80987500000003</v>
      </c>
      <c r="G11" s="13">
        <f t="shared" ref="G11:G18" si="1">E11*F11</f>
        <v>5.3942962500000009</v>
      </c>
    </row>
    <row r="12" spans="1:11" ht="17">
      <c r="A12" s="18" t="s">
        <v>30</v>
      </c>
      <c r="B12" s="19">
        <v>0.1</v>
      </c>
      <c r="C12" s="7" t="s">
        <v>25</v>
      </c>
      <c r="D12" s="20">
        <v>0</v>
      </c>
      <c r="E12" s="14">
        <f t="shared" si="0"/>
        <v>0.1</v>
      </c>
      <c r="F12" s="26">
        <f>Ingredientes!G12</f>
        <v>45.983999999999995</v>
      </c>
      <c r="G12" s="13">
        <f t="shared" si="1"/>
        <v>4.5983999999999998</v>
      </c>
    </row>
    <row r="13" spans="1:11" ht="17">
      <c r="A13" s="18" t="s">
        <v>31</v>
      </c>
      <c r="B13" s="19">
        <v>3.0000000000000001E-3</v>
      </c>
      <c r="C13" s="7" t="s">
        <v>25</v>
      </c>
      <c r="D13" s="20">
        <v>0</v>
      </c>
      <c r="E13" s="14">
        <f t="shared" si="0"/>
        <v>3.0000000000000001E-3</v>
      </c>
      <c r="F13" s="26">
        <f>Ingredientes!G13</f>
        <v>244.99999999999997</v>
      </c>
      <c r="G13" s="13">
        <f t="shared" si="1"/>
        <v>0.73499999999999988</v>
      </c>
    </row>
    <row r="14" spans="1:11" ht="17">
      <c r="A14" s="18" t="s">
        <v>32</v>
      </c>
      <c r="B14" s="19">
        <v>8.0000000000000002E-3</v>
      </c>
      <c r="C14" s="7" t="s">
        <v>25</v>
      </c>
      <c r="D14" s="20">
        <v>0</v>
      </c>
      <c r="E14" s="14">
        <f t="shared" si="0"/>
        <v>8.0000000000000002E-3</v>
      </c>
      <c r="F14" s="26">
        <f>Ingredientes!G8</f>
        <v>14.85</v>
      </c>
      <c r="G14" s="13">
        <f t="shared" si="1"/>
        <v>0.1188</v>
      </c>
    </row>
    <row r="15" spans="1:11" ht="17">
      <c r="A15" s="18" t="s">
        <v>33</v>
      </c>
      <c r="B15" s="19">
        <v>1E-3</v>
      </c>
      <c r="C15" s="7" t="s">
        <v>25</v>
      </c>
      <c r="D15" s="20">
        <v>0</v>
      </c>
      <c r="E15" s="14">
        <f t="shared" si="0"/>
        <v>1E-3</v>
      </c>
      <c r="F15" s="26">
        <f>Ingredientes!G14</f>
        <v>245.3</v>
      </c>
      <c r="G15" s="13">
        <f t="shared" si="1"/>
        <v>0.24530000000000002</v>
      </c>
    </row>
    <row r="16" spans="1:11" ht="17">
      <c r="A16" s="18" t="s">
        <v>34</v>
      </c>
      <c r="B16" s="19">
        <v>0.2</v>
      </c>
      <c r="C16" s="7" t="s">
        <v>25</v>
      </c>
      <c r="D16" s="20">
        <v>0</v>
      </c>
      <c r="E16" s="14">
        <f t="shared" si="0"/>
        <v>0.2</v>
      </c>
      <c r="F16" s="26">
        <f>Ingredientes!G4</f>
        <v>3</v>
      </c>
      <c r="G16" s="13">
        <f t="shared" si="1"/>
        <v>0.60000000000000009</v>
      </c>
    </row>
    <row r="17" spans="1:7" ht="17">
      <c r="A17" s="18" t="s">
        <v>35</v>
      </c>
      <c r="B17" s="19">
        <v>3.0000000000000001E-3</v>
      </c>
      <c r="C17" s="7" t="s">
        <v>25</v>
      </c>
      <c r="D17" s="20">
        <v>0.05</v>
      </c>
      <c r="E17" s="14">
        <f t="shared" si="0"/>
        <v>3.15E-3</v>
      </c>
      <c r="F17" s="26">
        <f>Ingredientes!G6</f>
        <v>144.52654867256638</v>
      </c>
      <c r="G17" s="13">
        <f t="shared" si="1"/>
        <v>0.4552586283185841</v>
      </c>
    </row>
    <row r="18" spans="1:7" ht="17">
      <c r="A18" s="18" t="s">
        <v>36</v>
      </c>
      <c r="B18" s="19">
        <v>0.01</v>
      </c>
      <c r="C18" s="7" t="s">
        <v>25</v>
      </c>
      <c r="D18" s="20">
        <v>0</v>
      </c>
      <c r="E18" s="14">
        <f t="shared" si="0"/>
        <v>0.01</v>
      </c>
      <c r="F18" s="26">
        <f>'Zumo de limón amarillo'!G6</f>
        <v>126.56875000000001</v>
      </c>
      <c r="G18" s="13">
        <f t="shared" si="1"/>
        <v>1.2656875000000001</v>
      </c>
    </row>
    <row r="19" spans="1:7">
      <c r="D19" s="2"/>
      <c r="F19" s="11"/>
      <c r="G19" s="15"/>
    </row>
    <row r="20" spans="1:7">
      <c r="D20" s="9" t="s">
        <v>23</v>
      </c>
      <c r="E20" s="9"/>
      <c r="F20" s="9"/>
      <c r="G20" s="13">
        <f>SUM(G10:G18)</f>
        <v>44.213657674211177</v>
      </c>
    </row>
    <row r="21" spans="1:7">
      <c r="D21" s="9" t="s">
        <v>24</v>
      </c>
      <c r="E21" s="9"/>
      <c r="F21" s="12">
        <v>0.05</v>
      </c>
      <c r="G21" s="13">
        <f>G20*F21</f>
        <v>2.2106828837105588</v>
      </c>
    </row>
    <row r="22" spans="1:7">
      <c r="D22" s="8" t="s">
        <v>15</v>
      </c>
      <c r="E22" s="8"/>
      <c r="F22" s="8"/>
      <c r="G22" s="13">
        <f>G20+G21</f>
        <v>46.424340557921738</v>
      </c>
    </row>
  </sheetData>
  <mergeCells count="8">
    <mergeCell ref="D21:E21"/>
    <mergeCell ref="D22:F22"/>
    <mergeCell ref="B2:G2"/>
    <mergeCell ref="B3:G3"/>
    <mergeCell ref="E5:F5"/>
    <mergeCell ref="E6:F6"/>
    <mergeCell ref="E7:F7"/>
    <mergeCell ref="D20:F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4EF1-C084-634D-B30E-C3317127335B}">
  <dimension ref="A1:K18"/>
  <sheetViews>
    <sheetView workbookViewId="0">
      <selection activeCell="H13" sqref="H13"/>
    </sheetView>
  </sheetViews>
  <sheetFormatPr baseColWidth="10" defaultRowHeight="16"/>
  <cols>
    <col min="1" max="1" width="28.1640625" customWidth="1"/>
  </cols>
  <sheetData>
    <row r="1" spans="1:11" ht="38" customHeight="1">
      <c r="A1" s="23" t="s">
        <v>66</v>
      </c>
      <c r="B1" s="23"/>
      <c r="C1" s="23"/>
      <c r="D1" s="23"/>
      <c r="E1" s="23"/>
      <c r="F1" s="23"/>
      <c r="G1" s="23"/>
      <c r="H1" s="24"/>
      <c r="I1" s="24"/>
      <c r="J1" s="24"/>
      <c r="K1" s="24"/>
    </row>
    <row r="2" spans="1:11">
      <c r="A2" s="3" t="s">
        <v>11</v>
      </c>
      <c r="B2" s="4" t="s">
        <v>38</v>
      </c>
      <c r="C2" s="4"/>
      <c r="D2" s="4"/>
      <c r="E2" s="4"/>
      <c r="F2" s="4"/>
      <c r="G2" s="4"/>
    </row>
    <row r="3" spans="1:11">
      <c r="A3" s="3" t="s">
        <v>12</v>
      </c>
      <c r="B3" s="4" t="s">
        <v>37</v>
      </c>
      <c r="C3" s="4"/>
      <c r="D3" s="4"/>
      <c r="E3" s="4"/>
      <c r="F3" s="4"/>
      <c r="G3" s="4"/>
    </row>
    <row r="5" spans="1:11">
      <c r="A5" s="21" t="s">
        <v>13</v>
      </c>
      <c r="B5" s="25">
        <v>0.5</v>
      </c>
      <c r="C5" s="11"/>
      <c r="D5" s="11"/>
      <c r="E5" s="27" t="s">
        <v>15</v>
      </c>
      <c r="F5" s="27"/>
      <c r="G5" s="13">
        <f>G18</f>
        <v>30.800915295892597</v>
      </c>
    </row>
    <row r="6" spans="1:11">
      <c r="A6" s="21" t="s">
        <v>14</v>
      </c>
      <c r="B6" s="21"/>
      <c r="C6" s="11"/>
      <c r="D6" s="11"/>
      <c r="E6" s="28" t="s">
        <v>16</v>
      </c>
      <c r="F6" s="28"/>
      <c r="G6" s="13">
        <f>G5/B5</f>
        <v>61.601830591785195</v>
      </c>
    </row>
    <row r="7" spans="1:11">
      <c r="A7" s="11"/>
      <c r="B7" s="11"/>
      <c r="C7" s="11"/>
      <c r="D7" s="11"/>
      <c r="E7" s="28" t="s">
        <v>17</v>
      </c>
      <c r="F7" s="28"/>
      <c r="G7" s="13" t="e">
        <f>G5/B6</f>
        <v>#DIV/0!</v>
      </c>
    </row>
    <row r="9" spans="1:11" ht="37" customHeight="1">
      <c r="A9" s="6" t="s">
        <v>18</v>
      </c>
      <c r="B9" s="6" t="s">
        <v>19</v>
      </c>
      <c r="C9" s="6" t="s">
        <v>4</v>
      </c>
      <c r="D9" s="6" t="s">
        <v>20</v>
      </c>
      <c r="E9" s="6" t="s">
        <v>21</v>
      </c>
      <c r="F9" s="6" t="s">
        <v>22</v>
      </c>
      <c r="G9" s="6" t="s">
        <v>15</v>
      </c>
    </row>
    <row r="10" spans="1:11" ht="17">
      <c r="A10" s="18" t="s">
        <v>39</v>
      </c>
      <c r="B10" s="19">
        <v>0.5</v>
      </c>
      <c r="C10" s="18" t="s">
        <v>25</v>
      </c>
      <c r="D10" s="20">
        <v>0</v>
      </c>
      <c r="E10" s="14">
        <f>IF(B10&gt;0,B10+(B10*D10),B10)</f>
        <v>0.5</v>
      </c>
      <c r="F10" s="26">
        <f>'Garbanzo hidratado (subelaborac'!G6</f>
        <v>50.64921465968586</v>
      </c>
      <c r="G10" s="13">
        <f>E10*F10</f>
        <v>25.32460732984293</v>
      </c>
    </row>
    <row r="11" spans="1:11" ht="17">
      <c r="A11" s="18" t="s">
        <v>46</v>
      </c>
      <c r="B11" s="19">
        <v>0.05</v>
      </c>
      <c r="C11" s="18" t="s">
        <v>25</v>
      </c>
      <c r="D11" s="20">
        <v>0.15</v>
      </c>
      <c r="E11" s="14">
        <f t="shared" ref="E11:E14" si="0">IF(B11&gt;0,B11+(B11*D11),B11)</f>
        <v>5.7500000000000002E-2</v>
      </c>
      <c r="F11" s="26">
        <f>Ingredientes!G5</f>
        <v>37.533333333333331</v>
      </c>
      <c r="G11" s="13">
        <f t="shared" ref="G11:G14" si="1">E11*F11</f>
        <v>2.1581666666666668</v>
      </c>
    </row>
    <row r="12" spans="1:11" ht="17">
      <c r="A12" s="18" t="s">
        <v>47</v>
      </c>
      <c r="B12" s="19">
        <v>5.0000000000000001E-3</v>
      </c>
      <c r="C12" s="18" t="s">
        <v>25</v>
      </c>
      <c r="D12" s="20">
        <v>0.05</v>
      </c>
      <c r="E12" s="14">
        <f t="shared" si="0"/>
        <v>5.2500000000000003E-3</v>
      </c>
      <c r="F12" s="26">
        <f>Ingredientes!G6</f>
        <v>144.52654867256638</v>
      </c>
      <c r="G12" s="13">
        <f t="shared" si="1"/>
        <v>0.7587643805309735</v>
      </c>
    </row>
    <row r="13" spans="1:11" ht="17">
      <c r="A13" s="18" t="s">
        <v>48</v>
      </c>
      <c r="B13" s="19">
        <v>0.05</v>
      </c>
      <c r="C13" s="18" t="s">
        <v>25</v>
      </c>
      <c r="D13" s="20">
        <v>0.1</v>
      </c>
      <c r="E13" s="14">
        <f t="shared" si="0"/>
        <v>5.5000000000000007E-2</v>
      </c>
      <c r="F13" s="26">
        <f>Ingredientes!G7</f>
        <v>17.166666666666668</v>
      </c>
      <c r="G13" s="13">
        <f t="shared" si="1"/>
        <v>0.94416666666666682</v>
      </c>
    </row>
    <row r="14" spans="1:11" ht="17">
      <c r="A14" s="18" t="s">
        <v>32</v>
      </c>
      <c r="B14" s="19">
        <v>0.01</v>
      </c>
      <c r="C14" s="18" t="s">
        <v>25</v>
      </c>
      <c r="D14" s="20">
        <v>0</v>
      </c>
      <c r="E14" s="14">
        <f t="shared" si="0"/>
        <v>0.01</v>
      </c>
      <c r="F14" s="26">
        <f>Ingredientes!G8</f>
        <v>14.85</v>
      </c>
      <c r="G14" s="13">
        <f t="shared" si="1"/>
        <v>0.14849999999999999</v>
      </c>
    </row>
    <row r="15" spans="1:11">
      <c r="A15" s="11"/>
      <c r="B15" s="11"/>
      <c r="C15" s="11"/>
      <c r="D15" s="29"/>
      <c r="E15" s="11"/>
      <c r="F15" s="11"/>
      <c r="G15" s="11"/>
    </row>
    <row r="16" spans="1:11">
      <c r="A16" s="11"/>
      <c r="B16" s="11"/>
      <c r="C16" s="11"/>
      <c r="D16" s="30" t="s">
        <v>23</v>
      </c>
      <c r="E16" s="30"/>
      <c r="F16" s="30"/>
      <c r="G16" s="13">
        <f>SUM(G10:G14)</f>
        <v>29.334205043707236</v>
      </c>
    </row>
    <row r="17" spans="1:7">
      <c r="A17" s="11"/>
      <c r="B17" s="11"/>
      <c r="C17" s="11"/>
      <c r="D17" s="30" t="s">
        <v>24</v>
      </c>
      <c r="E17" s="30"/>
      <c r="F17" s="12">
        <v>0.05</v>
      </c>
      <c r="G17" s="13">
        <f>G16*F17</f>
        <v>1.4667102521853619</v>
      </c>
    </row>
    <row r="18" spans="1:7">
      <c r="A18" s="11"/>
      <c r="B18" s="11"/>
      <c r="C18" s="11"/>
      <c r="D18" s="27" t="s">
        <v>15</v>
      </c>
      <c r="E18" s="27"/>
      <c r="F18" s="27"/>
      <c r="G18" s="13">
        <f>G16+G17</f>
        <v>30.800915295892597</v>
      </c>
    </row>
  </sheetData>
  <mergeCells count="8">
    <mergeCell ref="D17:E17"/>
    <mergeCell ref="D18:F18"/>
    <mergeCell ref="B2:G2"/>
    <mergeCell ref="B3:G3"/>
    <mergeCell ref="E5:F5"/>
    <mergeCell ref="E6:F6"/>
    <mergeCell ref="E7:F7"/>
    <mergeCell ref="D16:F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D049-C83E-894C-B96D-AE9120BA836D}">
  <dimension ref="A1:K15"/>
  <sheetViews>
    <sheetView workbookViewId="0">
      <selection activeCell="I15" sqref="I15"/>
    </sheetView>
  </sheetViews>
  <sheetFormatPr baseColWidth="10" defaultRowHeight="16"/>
  <cols>
    <col min="1" max="1" width="28.1640625" customWidth="1"/>
    <col min="7" max="7" width="11.6640625" bestFit="1" customWidth="1"/>
  </cols>
  <sheetData>
    <row r="1" spans="1:11" ht="38" customHeight="1">
      <c r="A1" s="23" t="s">
        <v>66</v>
      </c>
      <c r="B1" s="23"/>
      <c r="C1" s="23"/>
      <c r="D1" s="23"/>
      <c r="E1" s="23"/>
      <c r="F1" s="23"/>
      <c r="G1" s="23"/>
      <c r="H1" s="24"/>
      <c r="I1" s="24"/>
      <c r="J1" s="24"/>
      <c r="K1" s="24"/>
    </row>
    <row r="2" spans="1:11">
      <c r="A2" s="3" t="s">
        <v>11</v>
      </c>
      <c r="B2" s="4" t="s">
        <v>38</v>
      </c>
      <c r="C2" s="4"/>
      <c r="D2" s="4"/>
      <c r="E2" s="4"/>
      <c r="F2" s="4"/>
      <c r="G2" s="4"/>
    </row>
    <row r="3" spans="1:11">
      <c r="A3" s="3" t="s">
        <v>12</v>
      </c>
      <c r="B3" s="4" t="s">
        <v>37</v>
      </c>
      <c r="C3" s="4"/>
      <c r="D3" s="4"/>
      <c r="E3" s="4"/>
      <c r="F3" s="4"/>
      <c r="G3" s="4"/>
    </row>
    <row r="5" spans="1:11">
      <c r="A5" s="5" t="s">
        <v>13</v>
      </c>
      <c r="B5" s="25">
        <v>0.95499999999999996</v>
      </c>
      <c r="E5" s="8" t="s">
        <v>15</v>
      </c>
      <c r="F5" s="8"/>
      <c r="G5" s="13">
        <f>G15</f>
        <v>48.37</v>
      </c>
    </row>
    <row r="6" spans="1:11">
      <c r="A6" s="5" t="s">
        <v>14</v>
      </c>
      <c r="B6" s="21"/>
      <c r="E6" s="4" t="s">
        <v>16</v>
      </c>
      <c r="F6" s="4"/>
      <c r="G6" s="13">
        <f>G5/B5</f>
        <v>50.64921465968586</v>
      </c>
    </row>
    <row r="7" spans="1:11">
      <c r="E7" s="4" t="s">
        <v>17</v>
      </c>
      <c r="F7" s="4"/>
      <c r="G7" s="13" t="e">
        <f>G5/B6</f>
        <v>#DIV/0!</v>
      </c>
    </row>
    <row r="9" spans="1:11" ht="37" customHeight="1">
      <c r="A9" s="6" t="s">
        <v>18</v>
      </c>
      <c r="B9" s="6" t="s">
        <v>19</v>
      </c>
      <c r="C9" s="6" t="s">
        <v>4</v>
      </c>
      <c r="D9" s="6" t="s">
        <v>20</v>
      </c>
      <c r="E9" s="6" t="s">
        <v>21</v>
      </c>
      <c r="F9" s="6" t="s">
        <v>22</v>
      </c>
      <c r="G9" s="6" t="s">
        <v>15</v>
      </c>
    </row>
    <row r="10" spans="1:11" ht="17">
      <c r="A10" s="18" t="s">
        <v>40</v>
      </c>
      <c r="B10" s="19">
        <v>0.5</v>
      </c>
      <c r="C10" s="18" t="s">
        <v>25</v>
      </c>
      <c r="D10" s="20">
        <v>0</v>
      </c>
      <c r="E10" s="14">
        <f>IF(B10&gt;0,B10+(B10*D10),B10)</f>
        <v>0.5</v>
      </c>
      <c r="F10" s="26">
        <f>Ingredientes!G3</f>
        <v>90.333333333333329</v>
      </c>
      <c r="G10" s="13">
        <f>E10*F10</f>
        <v>45.166666666666664</v>
      </c>
    </row>
    <row r="11" spans="1:11" ht="17">
      <c r="A11" s="18" t="s">
        <v>42</v>
      </c>
      <c r="B11" s="19">
        <v>0.3</v>
      </c>
      <c r="C11" s="18" t="s">
        <v>43</v>
      </c>
      <c r="D11" s="20">
        <v>0</v>
      </c>
      <c r="E11" s="14">
        <f t="shared" ref="E11" si="0">IF(B11&gt;0,B11+(B11*D11),B11)</f>
        <v>0.3</v>
      </c>
      <c r="F11" s="26">
        <f>Ingredientes!G4</f>
        <v>3</v>
      </c>
      <c r="G11" s="13">
        <f t="shared" ref="G11" si="1">E11*F11</f>
        <v>0.89999999999999991</v>
      </c>
    </row>
    <row r="12" spans="1:11">
      <c r="D12" s="2"/>
      <c r="F12" s="11"/>
    </row>
    <row r="13" spans="1:11">
      <c r="D13" s="9" t="s">
        <v>23</v>
      </c>
      <c r="E13" s="9"/>
      <c r="F13" s="9"/>
      <c r="G13" s="13">
        <f>SUM(G10:G11)</f>
        <v>46.066666666666663</v>
      </c>
    </row>
    <row r="14" spans="1:11">
      <c r="D14" s="9" t="s">
        <v>24</v>
      </c>
      <c r="E14" s="9"/>
      <c r="F14" s="12">
        <v>0.05</v>
      </c>
      <c r="G14" s="13">
        <f>G13*F14</f>
        <v>2.3033333333333332</v>
      </c>
    </row>
    <row r="15" spans="1:11">
      <c r="D15" s="8" t="s">
        <v>15</v>
      </c>
      <c r="E15" s="8"/>
      <c r="F15" s="8"/>
      <c r="G15" s="13">
        <f>G13+G14</f>
        <v>48.37</v>
      </c>
    </row>
  </sheetData>
  <mergeCells count="8">
    <mergeCell ref="D14:E14"/>
    <mergeCell ref="D15:F15"/>
    <mergeCell ref="B2:G2"/>
    <mergeCell ref="B3:G3"/>
    <mergeCell ref="E5:F5"/>
    <mergeCell ref="E6:F6"/>
    <mergeCell ref="E7:F7"/>
    <mergeCell ref="D13:F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BC33B-3623-464E-B82F-70D9FE657EF0}">
  <dimension ref="A1:K16"/>
  <sheetViews>
    <sheetView workbookViewId="0">
      <selection activeCell="H16" sqref="H16"/>
    </sheetView>
  </sheetViews>
  <sheetFormatPr baseColWidth="10" defaultRowHeight="16"/>
  <cols>
    <col min="1" max="1" width="28.1640625" customWidth="1"/>
  </cols>
  <sheetData>
    <row r="1" spans="1:11" ht="38" customHeight="1">
      <c r="A1" s="23" t="s">
        <v>66</v>
      </c>
      <c r="B1" s="23"/>
      <c r="C1" s="23"/>
      <c r="D1" s="23"/>
      <c r="E1" s="23"/>
      <c r="F1" s="23"/>
      <c r="G1" s="23"/>
      <c r="H1" s="24"/>
      <c r="I1" s="24"/>
      <c r="J1" s="24"/>
      <c r="K1" s="24"/>
    </row>
    <row r="2" spans="1:11">
      <c r="A2" s="3" t="s">
        <v>11</v>
      </c>
      <c r="B2" s="4" t="s">
        <v>53</v>
      </c>
      <c r="C2" s="4"/>
      <c r="D2" s="4"/>
      <c r="E2" s="4"/>
      <c r="F2" s="4"/>
      <c r="G2" s="4"/>
    </row>
    <row r="3" spans="1:11">
      <c r="A3" s="3" t="s">
        <v>12</v>
      </c>
      <c r="B3" s="4" t="s">
        <v>37</v>
      </c>
      <c r="C3" s="4"/>
      <c r="D3" s="4"/>
      <c r="E3" s="4"/>
      <c r="F3" s="4"/>
      <c r="G3" s="4"/>
    </row>
    <row r="5" spans="1:11">
      <c r="A5" s="32" t="s">
        <v>13</v>
      </c>
      <c r="B5" s="33">
        <v>0.3</v>
      </c>
      <c r="C5" s="34"/>
      <c r="D5" s="34"/>
      <c r="E5" s="27" t="s">
        <v>15</v>
      </c>
      <c r="F5" s="27"/>
      <c r="G5" s="13">
        <f>G16</f>
        <v>53.942962500000007</v>
      </c>
    </row>
    <row r="6" spans="1:11">
      <c r="A6" s="32" t="s">
        <v>14</v>
      </c>
      <c r="B6" s="32"/>
      <c r="C6" s="34"/>
      <c r="D6" s="34"/>
      <c r="E6" s="30" t="s">
        <v>16</v>
      </c>
      <c r="F6" s="30"/>
      <c r="G6" s="13">
        <f>G5/B5</f>
        <v>179.80987500000003</v>
      </c>
    </row>
    <row r="7" spans="1:11">
      <c r="A7" s="34"/>
      <c r="B7" s="34"/>
      <c r="C7" s="34"/>
      <c r="D7" s="34"/>
      <c r="E7" s="30" t="s">
        <v>17</v>
      </c>
      <c r="F7" s="30"/>
      <c r="G7" s="13" t="e">
        <f>G5/B6</f>
        <v>#DIV/0!</v>
      </c>
    </row>
    <row r="9" spans="1:11" ht="37" customHeight="1">
      <c r="A9" s="6" t="s">
        <v>18</v>
      </c>
      <c r="B9" s="6" t="s">
        <v>19</v>
      </c>
      <c r="C9" s="6" t="s">
        <v>4</v>
      </c>
      <c r="D9" s="6" t="s">
        <v>20</v>
      </c>
      <c r="E9" s="6" t="s">
        <v>21</v>
      </c>
      <c r="F9" s="6" t="s">
        <v>22</v>
      </c>
      <c r="G9" s="6" t="s">
        <v>15</v>
      </c>
    </row>
    <row r="10" spans="1:11" ht="17">
      <c r="A10" s="18" t="s">
        <v>54</v>
      </c>
      <c r="B10" s="19">
        <v>0.2</v>
      </c>
      <c r="C10" s="18" t="s">
        <v>25</v>
      </c>
      <c r="D10" s="35">
        <v>0</v>
      </c>
      <c r="E10" s="31">
        <f>IF(B10&gt;0,B10+(B10*D10),B10)</f>
        <v>0.2</v>
      </c>
      <c r="F10" s="36">
        <f>Ingredientes!G10</f>
        <v>166.5</v>
      </c>
      <c r="G10" s="13">
        <f>E10*F10</f>
        <v>33.300000000000004</v>
      </c>
    </row>
    <row r="11" spans="1:11" ht="17">
      <c r="A11" s="18" t="s">
        <v>55</v>
      </c>
      <c r="B11" s="19">
        <v>0.1</v>
      </c>
      <c r="C11" s="18" t="s">
        <v>25</v>
      </c>
      <c r="D11" s="35">
        <v>0</v>
      </c>
      <c r="E11" s="31">
        <f t="shared" ref="E11:E12" si="0">IF(B11&gt;0,B11+(B11*D11),B11)</f>
        <v>0.1</v>
      </c>
      <c r="F11" s="36">
        <f>Ingredientes!G9</f>
        <v>180</v>
      </c>
      <c r="G11" s="13">
        <f t="shared" ref="G11:G12" si="1">E11*F11</f>
        <v>18</v>
      </c>
    </row>
    <row r="12" spans="1:11" ht="17">
      <c r="A12" s="18" t="s">
        <v>32</v>
      </c>
      <c r="B12" s="19">
        <v>5.0000000000000001E-3</v>
      </c>
      <c r="C12" s="18" t="s">
        <v>25</v>
      </c>
      <c r="D12" s="35">
        <v>0</v>
      </c>
      <c r="E12" s="31">
        <f t="shared" si="0"/>
        <v>5.0000000000000001E-3</v>
      </c>
      <c r="F12" s="36">
        <f>Ingredientes!G8</f>
        <v>14.85</v>
      </c>
      <c r="G12" s="13">
        <f t="shared" si="1"/>
        <v>7.4249999999999997E-2</v>
      </c>
    </row>
    <row r="13" spans="1:11">
      <c r="D13" s="2"/>
      <c r="F13" s="11"/>
    </row>
    <row r="14" spans="1:11">
      <c r="D14" s="9" t="s">
        <v>23</v>
      </c>
      <c r="E14" s="9"/>
      <c r="F14" s="9"/>
      <c r="G14" s="13">
        <f>SUM(G10:G12)</f>
        <v>51.374250000000004</v>
      </c>
    </row>
    <row r="15" spans="1:11">
      <c r="D15" s="9" t="s">
        <v>24</v>
      </c>
      <c r="E15" s="9"/>
      <c r="F15" s="12">
        <v>0.05</v>
      </c>
      <c r="G15" s="13">
        <f>G14*F15</f>
        <v>2.5687125000000002</v>
      </c>
    </row>
    <row r="16" spans="1:11">
      <c r="D16" s="8" t="s">
        <v>15</v>
      </c>
      <c r="E16" s="8"/>
      <c r="F16" s="8"/>
      <c r="G16" s="13">
        <f>G14+G15</f>
        <v>53.942962500000007</v>
      </c>
    </row>
  </sheetData>
  <mergeCells count="8">
    <mergeCell ref="D15:E15"/>
    <mergeCell ref="D16:F16"/>
    <mergeCell ref="B2:G2"/>
    <mergeCell ref="B3:G3"/>
    <mergeCell ref="E5:F5"/>
    <mergeCell ref="E6:F6"/>
    <mergeCell ref="E7:F7"/>
    <mergeCell ref="D14:F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5DBA-90B2-5B46-B651-51375DB45B60}">
  <dimension ref="A1:K14"/>
  <sheetViews>
    <sheetView workbookViewId="0">
      <selection activeCell="I9" sqref="I9"/>
    </sheetView>
  </sheetViews>
  <sheetFormatPr baseColWidth="10" defaultRowHeight="16"/>
  <cols>
    <col min="1" max="1" width="28.1640625" customWidth="1"/>
  </cols>
  <sheetData>
    <row r="1" spans="1:11" ht="38" customHeight="1">
      <c r="A1" s="23" t="s">
        <v>66</v>
      </c>
      <c r="B1" s="23"/>
      <c r="C1" s="23"/>
      <c r="D1" s="23"/>
      <c r="E1" s="23"/>
      <c r="F1" s="23"/>
      <c r="G1" s="23"/>
      <c r="H1" s="24"/>
      <c r="I1" s="24"/>
      <c r="J1" s="24"/>
      <c r="K1" s="24"/>
    </row>
    <row r="2" spans="1:11">
      <c r="A2" s="3" t="s">
        <v>11</v>
      </c>
      <c r="B2" s="4" t="s">
        <v>60</v>
      </c>
      <c r="C2" s="4"/>
      <c r="D2" s="4"/>
      <c r="E2" s="4"/>
      <c r="F2" s="4"/>
      <c r="G2" s="4"/>
    </row>
    <row r="3" spans="1:11">
      <c r="A3" s="3" t="s">
        <v>12</v>
      </c>
      <c r="B3" s="4" t="s">
        <v>37</v>
      </c>
      <c r="C3" s="4"/>
      <c r="D3" s="4"/>
      <c r="E3" s="4"/>
      <c r="F3" s="4"/>
      <c r="G3" s="4"/>
    </row>
    <row r="5" spans="1:11">
      <c r="A5" s="21" t="s">
        <v>13</v>
      </c>
      <c r="B5" s="25">
        <v>0.4</v>
      </c>
      <c r="C5" s="11"/>
      <c r="D5" s="11"/>
      <c r="E5" s="27" t="s">
        <v>15</v>
      </c>
      <c r="F5" s="27"/>
      <c r="G5" s="13">
        <f>G14</f>
        <v>50.627500000000005</v>
      </c>
    </row>
    <row r="6" spans="1:11">
      <c r="A6" s="21" t="s">
        <v>14</v>
      </c>
      <c r="B6" s="21"/>
      <c r="C6" s="11"/>
      <c r="D6" s="11"/>
      <c r="E6" s="28" t="s">
        <v>16</v>
      </c>
      <c r="F6" s="28"/>
      <c r="G6" s="13">
        <f>G5/B5</f>
        <v>126.56875000000001</v>
      </c>
    </row>
    <row r="7" spans="1:11">
      <c r="A7" s="11"/>
      <c r="B7" s="11"/>
      <c r="C7" s="11"/>
      <c r="D7" s="11"/>
      <c r="E7" s="28" t="s">
        <v>17</v>
      </c>
      <c r="F7" s="28"/>
      <c r="G7" s="13" t="e">
        <f>G5/B6</f>
        <v>#DIV/0!</v>
      </c>
    </row>
    <row r="9" spans="1:11" ht="37" customHeight="1">
      <c r="A9" s="6" t="s">
        <v>18</v>
      </c>
      <c r="B9" s="6" t="s">
        <v>19</v>
      </c>
      <c r="C9" s="6" t="s">
        <v>4</v>
      </c>
      <c r="D9" s="6" t="s">
        <v>20</v>
      </c>
      <c r="E9" s="6" t="s">
        <v>21</v>
      </c>
      <c r="F9" s="6" t="s">
        <v>22</v>
      </c>
      <c r="G9" s="6" t="s">
        <v>15</v>
      </c>
    </row>
    <row r="10" spans="1:11" ht="17">
      <c r="A10" s="18" t="s">
        <v>61</v>
      </c>
      <c r="B10" s="19">
        <v>1</v>
      </c>
      <c r="C10" s="18" t="s">
        <v>25</v>
      </c>
      <c r="D10" s="20">
        <v>0</v>
      </c>
      <c r="E10" s="14">
        <f>IF(B10&gt;0,B10+(B10*D10),B10)</f>
        <v>1</v>
      </c>
      <c r="F10" s="26">
        <f>Ingredientes!G11</f>
        <v>48.216666666666669</v>
      </c>
      <c r="G10" s="13">
        <f>E10*F10</f>
        <v>48.216666666666669</v>
      </c>
    </row>
    <row r="11" spans="1:11">
      <c r="A11" s="11"/>
      <c r="B11" s="11"/>
      <c r="C11" s="11"/>
      <c r="D11" s="29"/>
      <c r="E11" s="11"/>
      <c r="F11" s="11"/>
      <c r="G11" s="11"/>
    </row>
    <row r="12" spans="1:11">
      <c r="D12" s="9" t="s">
        <v>23</v>
      </c>
      <c r="E12" s="9"/>
      <c r="F12" s="9"/>
      <c r="G12" s="13">
        <f>SUM(G10:G10)</f>
        <v>48.216666666666669</v>
      </c>
    </row>
    <row r="13" spans="1:11">
      <c r="D13" s="9" t="s">
        <v>24</v>
      </c>
      <c r="E13" s="9"/>
      <c r="F13" s="12">
        <v>0.05</v>
      </c>
      <c r="G13" s="13">
        <f>G12*F13</f>
        <v>2.4108333333333336</v>
      </c>
    </row>
    <row r="14" spans="1:11">
      <c r="D14" s="8" t="s">
        <v>15</v>
      </c>
      <c r="E14" s="8"/>
      <c r="F14" s="8"/>
      <c r="G14" s="13">
        <f>G12+G13</f>
        <v>50.627500000000005</v>
      </c>
    </row>
  </sheetData>
  <mergeCells count="8">
    <mergeCell ref="D13:E13"/>
    <mergeCell ref="D14:F14"/>
    <mergeCell ref="B2:G2"/>
    <mergeCell ref="B3:G3"/>
    <mergeCell ref="E5:F5"/>
    <mergeCell ref="E6:F6"/>
    <mergeCell ref="E7:F7"/>
    <mergeCell ref="D12:F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Ingredientes</vt:lpstr>
      <vt:lpstr>Plantilla en blanco</vt:lpstr>
      <vt:lpstr>Hummus</vt:lpstr>
      <vt:lpstr>Garbanzo cocido (subelaboración</vt:lpstr>
      <vt:lpstr>Garbanzo hidratado (subelaborac</vt:lpstr>
      <vt:lpstr>Tahini (subelaboración)</vt:lpstr>
      <vt:lpstr>Zumo de limón amarillo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2024-09-18T21:10:31Z</dcterms:created>
  <dcterms:modified xsi:type="dcterms:W3CDTF">2024-09-19T15:53:06Z</dcterms:modified>
</cp:coreProperties>
</file>